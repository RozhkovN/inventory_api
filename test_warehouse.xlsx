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ла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Клиент/товар</t>
        </is>
      </c>
      <c r="C1" s="1" t="inlineStr">
        <is>
          <t>количество</t>
        </is>
      </c>
      <c r="D1" s="1" t="inlineStr">
        <is>
          <t>закупка за штуку</t>
        </is>
      </c>
      <c r="E1" s="1" t="inlineStr">
        <is>
          <t>SKU</t>
        </is>
      </c>
    </row>
    <row r="2">
      <c r="A2" t="n">
        <v>1</v>
      </c>
      <c r="B2" t="inlineStr">
        <is>
          <t>ТОНЕР-КАРТРИДЖ ЧЕРНЫЙ C560</t>
        </is>
      </c>
      <c r="C2" t="n">
        <v>16</v>
      </c>
      <c r="D2">
        <f>3832.03*1.5</f>
        <v/>
      </c>
      <c r="E2" t="inlineStr">
        <is>
          <t>C560-BLK-TN</t>
        </is>
      </c>
    </row>
    <row r="3">
      <c r="A3" t="n">
        <v>2</v>
      </c>
      <c r="B3" t="inlineStr">
        <is>
          <t>РЕМЕНЬ ПЕРЕНОСА PrimeLink C9070</t>
        </is>
      </c>
      <c r="C3" t="n">
        <v>17</v>
      </c>
      <c r="D3">
        <f>4585.15*1.1</f>
        <v/>
      </c>
      <c r="E3" t="inlineStr">
        <is>
          <t>PLC9070-MISC-OTH</t>
        </is>
      </c>
    </row>
    <row r="4">
      <c r="A4" t="n">
        <v>3</v>
      </c>
      <c r="B4" t="inlineStr">
        <is>
          <t>РЕМЕНЬ ПЕРЕНОСА DC250</t>
        </is>
      </c>
      <c r="C4" t="n">
        <v>1</v>
      </c>
      <c r="D4">
        <f>15112.95*1.0</f>
        <v/>
      </c>
      <c r="E4" t="inlineStr">
        <is>
          <t>DC250-MISC-OTH</t>
        </is>
      </c>
    </row>
    <row r="5">
      <c r="A5" t="n">
        <v>4</v>
      </c>
      <c r="B5" t="inlineStr">
        <is>
          <t>ТОНЕР-КАРТРИДЖ ЧЕРНЫЙ D110</t>
        </is>
      </c>
      <c r="C5" t="n">
        <v>13</v>
      </c>
      <c r="D5">
        <f>16425.26*1.1</f>
        <v/>
      </c>
      <c r="E5" t="inlineStr">
        <is>
          <t>D110-BLK-TN</t>
        </is>
      </c>
    </row>
    <row r="6">
      <c r="A6" t="n">
        <v>5</v>
      </c>
      <c r="B6" t="inlineStr">
        <is>
          <t>ТОНЕР-КАРТРИДЖ ЖЕЛТЫЙ DC250</t>
        </is>
      </c>
      <c r="C6" t="n">
        <v>6</v>
      </c>
      <c r="D6">
        <f>3017.35*1.0</f>
        <v/>
      </c>
      <c r="E6" t="inlineStr">
        <is>
          <t>DC250-YEL-TN</t>
        </is>
      </c>
    </row>
    <row r="7">
      <c r="A7" t="n">
        <v>6</v>
      </c>
      <c r="B7" t="inlineStr">
        <is>
          <t>ФИЛЬТР ОЗОНОВЫЙ C60</t>
        </is>
      </c>
      <c r="C7" t="n">
        <v>16</v>
      </c>
      <c r="D7">
        <f>13025.97*1.2</f>
        <v/>
      </c>
      <c r="E7" t="inlineStr">
        <is>
          <t>C60-MISC-OTH</t>
        </is>
      </c>
    </row>
    <row r="8">
      <c r="A8" t="n">
        <v>7</v>
      </c>
      <c r="B8" t="inlineStr">
        <is>
          <t>РЕМЕНЬ ПЕРЕНОСА 700DCP</t>
        </is>
      </c>
      <c r="C8" t="n">
        <v>9</v>
      </c>
      <c r="D8">
        <f>16452.0*1.2</f>
        <v/>
      </c>
      <c r="E8" t="inlineStr">
        <is>
          <t>700DCP-MISC-OTH</t>
        </is>
      </c>
    </row>
    <row r="9">
      <c r="A9" t="n">
        <v>8</v>
      </c>
      <c r="B9" t="inlineStr">
        <is>
          <t>ДРАМ-КАРТРИДЖ ЧЕРНЫЙ WC4110</t>
        </is>
      </c>
      <c r="C9" t="n">
        <v>1</v>
      </c>
      <c r="D9">
        <f>1104.52*1.1</f>
        <v/>
      </c>
      <c r="E9" t="inlineStr">
        <is>
          <t>WC4110-BLK-DM</t>
        </is>
      </c>
    </row>
    <row r="10">
      <c r="A10" t="n">
        <v>9</v>
      </c>
      <c r="B10" t="inlineStr">
        <is>
          <t>ФИЛЬТР ОЗОНОВЫЙ D110</t>
        </is>
      </c>
      <c r="C10" t="n">
        <v>8</v>
      </c>
      <c r="D10">
        <f>23192.09*1.0</f>
        <v/>
      </c>
      <c r="E10" t="inlineStr">
        <is>
          <t>D110-MISC-OTH</t>
        </is>
      </c>
    </row>
    <row r="11">
      <c r="A11" t="n">
        <v>10</v>
      </c>
      <c r="B11" t="inlineStr">
        <is>
          <t>ПРИЖИМНОЙ ВАЛ C560</t>
        </is>
      </c>
      <c r="C11" t="n">
        <v>6</v>
      </c>
      <c r="D11">
        <f>18381.32*1.5</f>
        <v/>
      </c>
      <c r="E11" t="inlineStr">
        <is>
          <t>C560-MISC-OTH</t>
        </is>
      </c>
    </row>
    <row r="12">
      <c r="A12" t="n">
        <v>11</v>
      </c>
      <c r="B12" t="inlineStr">
        <is>
          <t>ФИЛЬТР ОЗОНОВЫЙ WC4110</t>
        </is>
      </c>
      <c r="C12" t="n">
        <v>10</v>
      </c>
      <c r="D12">
        <f>18238.08*1.2</f>
        <v/>
      </c>
      <c r="E12" t="inlineStr">
        <is>
          <t>WC4110-MISC-OTH</t>
        </is>
      </c>
    </row>
    <row r="13">
      <c r="A13" t="n">
        <v>12</v>
      </c>
      <c r="B13" t="inlineStr">
        <is>
          <t>ТОНЕР-КАРТРИДЖ ЧЕРНЫЙ PrimeLink C9070</t>
        </is>
      </c>
      <c r="C13" t="n">
        <v>15</v>
      </c>
      <c r="D13">
        <f>17219.03*1.1</f>
        <v/>
      </c>
      <c r="E13" t="inlineStr">
        <is>
          <t>PLC9070-BLK-TN</t>
        </is>
      </c>
    </row>
    <row r="14">
      <c r="A14" t="n">
        <v>13</v>
      </c>
      <c r="B14" t="inlineStr">
        <is>
          <t>ТОНЕР-КАРТРИДЖ ПУРПУРНЫЙ 700DCP</t>
        </is>
      </c>
      <c r="C14" t="n">
        <v>12</v>
      </c>
      <c r="D14">
        <f>24686.4*1.3</f>
        <v/>
      </c>
      <c r="E14" t="inlineStr">
        <is>
          <t>700DCP-MAG-TN</t>
        </is>
      </c>
    </row>
    <row r="15">
      <c r="A15" t="n">
        <v>14</v>
      </c>
      <c r="B15" t="inlineStr">
        <is>
          <t>ПРИЖИМНОЙ ВАЛ C60</t>
        </is>
      </c>
      <c r="C15" t="n">
        <v>6</v>
      </c>
      <c r="D15">
        <f>3328.63*1.0</f>
        <v/>
      </c>
      <c r="E15" t="inlineStr">
        <is>
          <t>C60-MISC-OTH-1</t>
        </is>
      </c>
    </row>
    <row r="16">
      <c r="A16" t="n">
        <v>15</v>
      </c>
      <c r="B16" t="inlineStr">
        <is>
          <t>ТОНЕР-КАРТРИДЖ СИНИЙ C60</t>
        </is>
      </c>
      <c r="C16" t="n">
        <v>16</v>
      </c>
      <c r="D16">
        <f>9325.79*1.0</f>
        <v/>
      </c>
      <c r="E16" t="inlineStr">
        <is>
          <t>C60-CYN-TN</t>
        </is>
      </c>
    </row>
    <row r="17">
      <c r="A17" t="n">
        <v>16</v>
      </c>
      <c r="B17" t="inlineStr">
        <is>
          <t>РЕМЕНЬ ПЕРЕНОСА PrimeLink C9070</t>
        </is>
      </c>
      <c r="C17" t="n">
        <v>1</v>
      </c>
      <c r="D17">
        <f>26041.37*1.1</f>
        <v/>
      </c>
      <c r="E17" t="inlineStr">
        <is>
          <t>PLC9070-MISC-OTH-1</t>
        </is>
      </c>
    </row>
    <row r="18">
      <c r="A18" t="n">
        <v>17</v>
      </c>
      <c r="B18" t="inlineStr">
        <is>
          <t>ДРАМ-КАРТРИДЖ ЧЕРНЫЙ C60</t>
        </is>
      </c>
      <c r="C18" t="n">
        <v>3</v>
      </c>
      <c r="D18">
        <f>7913.68*1.2</f>
        <v/>
      </c>
      <c r="E18" t="inlineStr">
        <is>
          <t>C60-BLK-DM</t>
        </is>
      </c>
    </row>
    <row r="19">
      <c r="A19" t="n">
        <v>18</v>
      </c>
      <c r="B19" t="inlineStr">
        <is>
          <t>ПРИЖИМНОЙ ВАЛ C75</t>
        </is>
      </c>
      <c r="C19" t="n">
        <v>11</v>
      </c>
      <c r="D19">
        <f>26301.06*1.3</f>
        <v/>
      </c>
      <c r="E19" t="inlineStr">
        <is>
          <t>C75-MISC-OTH</t>
        </is>
      </c>
    </row>
    <row r="20">
      <c r="A20" t="n">
        <v>19</v>
      </c>
      <c r="B20" t="inlineStr">
        <is>
          <t>ТОНЕР-КАРТРИДЖ СИНИЙ C75</t>
        </is>
      </c>
      <c r="C20" t="n">
        <v>19</v>
      </c>
      <c r="D20">
        <f>13293.46*1.2</f>
        <v/>
      </c>
      <c r="E20" t="inlineStr">
        <is>
          <t>C75-CYN-TN</t>
        </is>
      </c>
    </row>
    <row r="21">
      <c r="A21" t="n">
        <v>20</v>
      </c>
      <c r="B21" t="inlineStr">
        <is>
          <t>РЕМЕНЬ ПЕРЕНОСА C60</t>
        </is>
      </c>
      <c r="C21" t="n">
        <v>13</v>
      </c>
      <c r="D21">
        <f>23208.24*1.5</f>
        <v/>
      </c>
      <c r="E21" t="inlineStr">
        <is>
          <t>C60-MISC-OTH-2</t>
        </is>
      </c>
    </row>
    <row r="22">
      <c r="A22" t="n">
        <v>21</v>
      </c>
      <c r="B22" t="inlineStr">
        <is>
          <t>ФИЛЬТР ОЗОНОВЫЙ C60</t>
        </is>
      </c>
      <c r="C22" t="n">
        <v>7</v>
      </c>
      <c r="D22">
        <f>11552.81*1.5</f>
        <v/>
      </c>
      <c r="E22" t="inlineStr">
        <is>
          <t>C60-MISC-OTH-3</t>
        </is>
      </c>
    </row>
    <row r="23">
      <c r="A23" t="n">
        <v>22</v>
      </c>
      <c r="B23" t="inlineStr">
        <is>
          <t>ТОНЕР-КАРТРИДЖ СИНИЙ PrimeLink C9070</t>
        </is>
      </c>
      <c r="C23" t="n">
        <v>19</v>
      </c>
      <c r="D23">
        <f>19090.3*1.2</f>
        <v/>
      </c>
      <c r="E23" t="inlineStr">
        <is>
          <t>PLC9070-CYN-TN</t>
        </is>
      </c>
    </row>
    <row r="24">
      <c r="A24" t="n">
        <v>23</v>
      </c>
      <c r="B24" t="inlineStr">
        <is>
          <t>ПРИЖИМНОЙ ВАЛ C560</t>
        </is>
      </c>
      <c r="C24" t="n">
        <v>13</v>
      </c>
      <c r="D24">
        <f>7412.99*1.0</f>
        <v/>
      </c>
      <c r="E24" t="inlineStr">
        <is>
          <t>C560-MISC-OTH-1</t>
        </is>
      </c>
    </row>
    <row r="25">
      <c r="A25" t="n">
        <v>24</v>
      </c>
      <c r="B25" t="inlineStr">
        <is>
          <t>ТОНЕР-КАРТРИДЖ ПУРПУРНЫЙ C560</t>
        </is>
      </c>
      <c r="C25" t="n">
        <v>10</v>
      </c>
      <c r="D25">
        <f>20172.92*1.5</f>
        <v/>
      </c>
      <c r="E25" t="inlineStr">
        <is>
          <t>C560-MAG-TN</t>
        </is>
      </c>
    </row>
    <row r="26">
      <c r="A26" t="n">
        <v>25</v>
      </c>
      <c r="B26" t="inlineStr">
        <is>
          <t>ТОНЕР-КАРТРИДЖ ЧЕРНЫЙ WC4110</t>
        </is>
      </c>
      <c r="C26" t="n">
        <v>5</v>
      </c>
      <c r="D26">
        <f>22027.47*1.5</f>
        <v/>
      </c>
      <c r="E26" t="inlineStr">
        <is>
          <t>WC4110-BLK-TN</t>
        </is>
      </c>
    </row>
    <row r="27">
      <c r="A27" t="n">
        <v>26</v>
      </c>
      <c r="B27" t="inlineStr">
        <is>
          <t>ФИЛЬТР ОЗОНОВЫЙ C1000</t>
        </is>
      </c>
      <c r="C27" t="n">
        <v>4</v>
      </c>
      <c r="D27">
        <f>2933.7*1.3</f>
        <v/>
      </c>
      <c r="E27" t="inlineStr">
        <is>
          <t>C1000-MISC-OTH</t>
        </is>
      </c>
    </row>
    <row r="28">
      <c r="A28" t="n">
        <v>27</v>
      </c>
      <c r="B28" t="inlineStr">
        <is>
          <t>ФИЛЬТР ОЗОНОВЫЙ WC4110</t>
        </is>
      </c>
      <c r="C28" t="n">
        <v>20</v>
      </c>
      <c r="D28">
        <f>18616.03*1.2</f>
        <v/>
      </c>
      <c r="E28" t="inlineStr">
        <is>
          <t>WC4110-MISC-OTH-1</t>
        </is>
      </c>
    </row>
    <row r="29">
      <c r="A29" t="n">
        <v>28</v>
      </c>
      <c r="B29" t="inlineStr">
        <is>
          <t>ТОНЕР-КАРТРИДЖ ЧЕРНЫЙ V80</t>
        </is>
      </c>
      <c r="C29" t="n">
        <v>11</v>
      </c>
      <c r="D29">
        <f>9335.43*1.1</f>
        <v/>
      </c>
      <c r="E29" t="inlineStr">
        <is>
          <t>V80-BLK-TN</t>
        </is>
      </c>
    </row>
    <row r="30">
      <c r="A30" t="n">
        <v>29</v>
      </c>
      <c r="B30" t="inlineStr">
        <is>
          <t>НАГРЕВАТЕЛЬНЫЙ ВАЛ DC250</t>
        </is>
      </c>
      <c r="C30" t="n">
        <v>12</v>
      </c>
      <c r="D30">
        <f>15960.8*1.0</f>
        <v/>
      </c>
      <c r="E30" t="inlineStr">
        <is>
          <t>DC250-MISC-OTH-1</t>
        </is>
      </c>
    </row>
    <row r="31">
      <c r="A31" t="n">
        <v>30</v>
      </c>
      <c r="B31" t="inlineStr">
        <is>
          <t>ТОНЕР-КАРТРИДЖ СИНИЙ DC250</t>
        </is>
      </c>
      <c r="C31" t="n">
        <v>4</v>
      </c>
      <c r="D31">
        <f>24623.41*1.5</f>
        <v/>
      </c>
      <c r="E31" t="inlineStr">
        <is>
          <t>DC250-CYN-TN</t>
        </is>
      </c>
    </row>
    <row r="32">
      <c r="A32" t="n">
        <v>31</v>
      </c>
      <c r="B32" t="inlineStr">
        <is>
          <t>ДРАМ-КАРТРИДЖ ЧЕРНЫЙ D110</t>
        </is>
      </c>
      <c r="C32" t="n">
        <v>6</v>
      </c>
      <c r="D32">
        <f>15461.47*1.1</f>
        <v/>
      </c>
      <c r="E32" t="inlineStr">
        <is>
          <t>D110-BLK-DM</t>
        </is>
      </c>
    </row>
    <row r="33">
      <c r="A33" t="n">
        <v>32</v>
      </c>
      <c r="B33" t="inlineStr">
        <is>
          <t>НАГРЕВАТЕЛЬНЫЙ ВАЛ D110</t>
        </is>
      </c>
      <c r="C33" t="n">
        <v>13</v>
      </c>
      <c r="D33">
        <f>15112.09*1.2</f>
        <v/>
      </c>
      <c r="E33" t="inlineStr">
        <is>
          <t>D110-MISC-OTH-1</t>
        </is>
      </c>
    </row>
    <row r="34">
      <c r="A34" t="n">
        <v>33</v>
      </c>
      <c r="B34" t="inlineStr">
        <is>
          <t>ПРИЖИМНОЙ ВАЛ C1000</t>
        </is>
      </c>
      <c r="C34" t="n">
        <v>18</v>
      </c>
      <c r="D34">
        <f>20534.57*1.2</f>
        <v/>
      </c>
      <c r="E34" t="inlineStr">
        <is>
          <t>C1000-MISC-OTH-1</t>
        </is>
      </c>
    </row>
    <row r="35">
      <c r="A35" t="n">
        <v>34</v>
      </c>
      <c r="B35" t="inlineStr">
        <is>
          <t>ТОНЕР-КАРТРИДЖ ПУРПУРНЫЙ C75</t>
        </is>
      </c>
      <c r="C35" t="n">
        <v>2</v>
      </c>
      <c r="D35">
        <f>4736.38*1.1</f>
        <v/>
      </c>
      <c r="E35" t="inlineStr">
        <is>
          <t>C75-MAG-TN</t>
        </is>
      </c>
    </row>
    <row r="36">
      <c r="A36" t="n">
        <v>35</v>
      </c>
      <c r="B36" t="inlineStr">
        <is>
          <t>ЧИП НА ДРАМ V80</t>
        </is>
      </c>
      <c r="C36" t="n">
        <v>19</v>
      </c>
      <c r="D36">
        <f>11119.03*1.5</f>
        <v/>
      </c>
      <c r="E36" t="inlineStr">
        <is>
          <t>V80-MISC-DM</t>
        </is>
      </c>
    </row>
    <row r="37">
      <c r="A37" t="n">
        <v>36</v>
      </c>
      <c r="B37" t="inlineStr">
        <is>
          <t>НАГРЕВАТЕЛЬНЫЙ ВАЛ D110</t>
        </is>
      </c>
      <c r="C37" t="n">
        <v>8</v>
      </c>
      <c r="D37">
        <f>19157.27*1.2</f>
        <v/>
      </c>
      <c r="E37" t="inlineStr">
        <is>
          <t>D110-MISC-OTH-2</t>
        </is>
      </c>
    </row>
    <row r="38">
      <c r="A38" t="n">
        <v>37</v>
      </c>
      <c r="B38" t="inlineStr">
        <is>
          <t>ДРАМ-КАРТРИДЖ ЧЕРНЫЙ C560</t>
        </is>
      </c>
      <c r="C38" t="n">
        <v>15</v>
      </c>
      <c r="D38">
        <f>29960.37*1.0</f>
        <v/>
      </c>
      <c r="E38" t="inlineStr">
        <is>
          <t>C560-BLK-DM</t>
        </is>
      </c>
    </row>
    <row r="39">
      <c r="A39" t="n">
        <v>38</v>
      </c>
      <c r="B39" t="inlineStr">
        <is>
          <t>РЕМЕНЬ ПЕРЕНОСА C1000</t>
        </is>
      </c>
      <c r="C39" t="n">
        <v>1</v>
      </c>
      <c r="D39">
        <f>2704.24*1.2</f>
        <v/>
      </c>
      <c r="E39" t="inlineStr">
        <is>
          <t>C1000-MISC-OTH-2</t>
        </is>
      </c>
    </row>
    <row r="40">
      <c r="A40" t="n">
        <v>39</v>
      </c>
      <c r="B40" t="inlineStr">
        <is>
          <t>ТОНЕР-КАРТРИДЖ ЧЕРНЫЙ WC4110</t>
        </is>
      </c>
      <c r="C40" t="n">
        <v>6</v>
      </c>
      <c r="D40">
        <f>8181.85*1.5</f>
        <v/>
      </c>
      <c r="E40" t="inlineStr">
        <is>
          <t>WC4110-BLK-TN-1</t>
        </is>
      </c>
    </row>
    <row r="41">
      <c r="A41" t="n">
        <v>40</v>
      </c>
      <c r="B41" t="inlineStr">
        <is>
          <t>ЧИП НА ДРАМ C75</t>
        </is>
      </c>
      <c r="C41" t="n">
        <v>15</v>
      </c>
      <c r="D41">
        <f>2720.66*1.5</f>
        <v/>
      </c>
      <c r="E41" t="inlineStr">
        <is>
          <t>C75-MISC-DM</t>
        </is>
      </c>
    </row>
    <row r="42">
      <c r="A42" t="n">
        <v>41</v>
      </c>
      <c r="B42" t="inlineStr">
        <is>
          <t>ЧИП НА ДРАМ V80</t>
        </is>
      </c>
      <c r="C42" t="n">
        <v>4</v>
      </c>
      <c r="D42">
        <f>20781.28*1.5</f>
        <v/>
      </c>
      <c r="E42" t="inlineStr">
        <is>
          <t>V80-MISC-DM-1</t>
        </is>
      </c>
    </row>
    <row r="43">
      <c r="A43" t="n">
        <v>42</v>
      </c>
      <c r="B43" t="inlineStr">
        <is>
          <t>ПРИЖИМНОЙ ВАЛ C60</t>
        </is>
      </c>
      <c r="C43" t="n">
        <v>9</v>
      </c>
      <c r="D43">
        <f>4450.48*1.3</f>
        <v/>
      </c>
      <c r="E43" t="inlineStr">
        <is>
          <t>C60-MISC-OTH-4</t>
        </is>
      </c>
    </row>
    <row r="44">
      <c r="A44" t="n">
        <v>43</v>
      </c>
      <c r="B44" t="inlineStr">
        <is>
          <t>ТОНЕР-КАРТРИДЖ ЖЕЛТЫЙ V80</t>
        </is>
      </c>
      <c r="C44" t="n">
        <v>18</v>
      </c>
      <c r="D44">
        <f>1732.34*1.0</f>
        <v/>
      </c>
      <c r="E44" t="inlineStr">
        <is>
          <t>V80-YEL-TN</t>
        </is>
      </c>
    </row>
    <row r="45">
      <c r="A45" t="n">
        <v>44</v>
      </c>
      <c r="B45" t="inlineStr">
        <is>
          <t>РЕМЕНЬ ПЕРЕНОСА C75</t>
        </is>
      </c>
      <c r="C45" t="n">
        <v>9</v>
      </c>
      <c r="D45">
        <f>8350.26*1.1</f>
        <v/>
      </c>
      <c r="E45" t="inlineStr">
        <is>
          <t>C75-MISC-OTH-1</t>
        </is>
      </c>
    </row>
    <row r="46">
      <c r="A46" t="n">
        <v>45</v>
      </c>
      <c r="B46" t="inlineStr">
        <is>
          <t>ДРАМ-КАРТРИДЖ ЧЕРНЫЙ C60</t>
        </is>
      </c>
      <c r="C46" t="n">
        <v>11</v>
      </c>
      <c r="D46">
        <f>22443.73*1.0</f>
        <v/>
      </c>
      <c r="E46" t="inlineStr">
        <is>
          <t>C60-BLK-DM-1</t>
        </is>
      </c>
    </row>
    <row r="47">
      <c r="A47" t="n">
        <v>46</v>
      </c>
      <c r="B47" t="inlineStr">
        <is>
          <t>ТОНЕР-КАРТРИДЖ ЧЕРНЫЙ PrimeLink C9070</t>
        </is>
      </c>
      <c r="C47" t="n">
        <v>1</v>
      </c>
      <c r="D47">
        <f>13652.72*1.5</f>
        <v/>
      </c>
      <c r="E47" t="inlineStr">
        <is>
          <t>PLC9070-BLK-TN-1</t>
        </is>
      </c>
    </row>
    <row r="48">
      <c r="A48" t="n">
        <v>47</v>
      </c>
      <c r="B48" t="inlineStr">
        <is>
          <t>ТОНЕР-КАРТРИДЖ СИНИЙ D110</t>
        </is>
      </c>
      <c r="C48" t="n">
        <v>13</v>
      </c>
      <c r="D48">
        <f>20594.92*1.3</f>
        <v/>
      </c>
      <c r="E48" t="inlineStr">
        <is>
          <t>D110-CYN-TN</t>
        </is>
      </c>
    </row>
    <row r="49">
      <c r="A49" t="n">
        <v>48</v>
      </c>
      <c r="B49" t="inlineStr">
        <is>
          <t>ТОНЕР-КАРТРИДЖ ПУРПУРНЫЙ C75</t>
        </is>
      </c>
      <c r="C49" t="n">
        <v>14</v>
      </c>
      <c r="D49">
        <f>8265.15*1.1</f>
        <v/>
      </c>
      <c r="E49" t="inlineStr">
        <is>
          <t>C75-MAG-TN-1</t>
        </is>
      </c>
    </row>
    <row r="50">
      <c r="A50" t="n">
        <v>49</v>
      </c>
      <c r="B50" t="inlineStr">
        <is>
          <t>РЕМЕНЬ ПЕРЕНОСА C75</t>
        </is>
      </c>
      <c r="C50" t="n">
        <v>9</v>
      </c>
      <c r="D50">
        <f>13866.63*1.3</f>
        <v/>
      </c>
      <c r="E50" t="inlineStr">
        <is>
          <t>C75-MISC-OTH-2</t>
        </is>
      </c>
    </row>
    <row r="51">
      <c r="A51" t="n">
        <v>50</v>
      </c>
      <c r="B51" t="inlineStr">
        <is>
          <t>НАГРЕВАТЕЛЬНЫЙ ВАЛ D110</t>
        </is>
      </c>
      <c r="C51" t="n">
        <v>5</v>
      </c>
      <c r="D51">
        <f>21856.31*1.2</f>
        <v/>
      </c>
      <c r="E51" t="inlineStr">
        <is>
          <t>D110-MISC-OTH-3</t>
        </is>
      </c>
    </row>
    <row r="52">
      <c r="A52" t="n">
        <v>51</v>
      </c>
      <c r="B52" t="inlineStr">
        <is>
          <t>ЧИП НА ДРАМ DC250</t>
        </is>
      </c>
      <c r="C52" t="n">
        <v>14</v>
      </c>
      <c r="D52">
        <f>16242.41*1.2</f>
        <v/>
      </c>
      <c r="E52" t="inlineStr">
        <is>
          <t>DC250-MISC-DM</t>
        </is>
      </c>
    </row>
    <row r="53">
      <c r="A53" t="n">
        <v>52</v>
      </c>
      <c r="B53" t="inlineStr">
        <is>
          <t>НАГРЕВАТЕЛЬНЫЙ ВАЛ WC4110</t>
        </is>
      </c>
      <c r="C53" t="n">
        <v>7</v>
      </c>
      <c r="D53">
        <f>25155.94*1.0</f>
        <v/>
      </c>
      <c r="E53" t="inlineStr">
        <is>
          <t>WC4110-MISC-OTH-2</t>
        </is>
      </c>
    </row>
    <row r="54">
      <c r="A54" t="n">
        <v>53</v>
      </c>
      <c r="B54" t="inlineStr">
        <is>
          <t>РЕМЕНЬ ПЕРЕНОСА D110</t>
        </is>
      </c>
      <c r="C54" t="n">
        <v>8</v>
      </c>
      <c r="D54">
        <f>4727.54*1.3</f>
        <v/>
      </c>
      <c r="E54" t="inlineStr">
        <is>
          <t>D110-MISC-OTH-4</t>
        </is>
      </c>
    </row>
    <row r="55">
      <c r="A55" t="n">
        <v>54</v>
      </c>
      <c r="B55" t="inlineStr">
        <is>
          <t>ТОНЕР-КАРТРИДЖ ЧЕРНЫЙ C60</t>
        </is>
      </c>
      <c r="C55" t="n">
        <v>19</v>
      </c>
      <c r="D55">
        <f>20248.38*1.3</f>
        <v/>
      </c>
      <c r="E55" t="inlineStr">
        <is>
          <t>C60-BLK-TN</t>
        </is>
      </c>
    </row>
    <row r="56">
      <c r="A56" t="n">
        <v>55</v>
      </c>
      <c r="B56" t="inlineStr">
        <is>
          <t>ДРАМ-КАРТРИДЖ ЧЕРНЫЙ PrimeLink C9070</t>
        </is>
      </c>
      <c r="C56" t="n">
        <v>10</v>
      </c>
      <c r="D56">
        <f>14240.23*1.1</f>
        <v/>
      </c>
      <c r="E56" t="inlineStr">
        <is>
          <t>PLC9070-BLK-DM</t>
        </is>
      </c>
    </row>
    <row r="57">
      <c r="A57" t="n">
        <v>56</v>
      </c>
      <c r="B57" t="inlineStr">
        <is>
          <t>ЧИП НА ДРАМ 700DCP</t>
        </is>
      </c>
      <c r="C57" t="n">
        <v>19</v>
      </c>
      <c r="D57">
        <f>19938.19*1.2</f>
        <v/>
      </c>
      <c r="E57" t="inlineStr">
        <is>
          <t>700DCP-MISC-DM</t>
        </is>
      </c>
    </row>
    <row r="58">
      <c r="A58" t="n">
        <v>57</v>
      </c>
      <c r="B58" t="inlineStr">
        <is>
          <t>РЕМЕНЬ ПЕРЕНОСА DC250</t>
        </is>
      </c>
      <c r="C58" t="n">
        <v>4</v>
      </c>
      <c r="D58">
        <f>3439.73*1.2</f>
        <v/>
      </c>
      <c r="E58" t="inlineStr">
        <is>
          <t>DC250-MISC-OTH-2</t>
        </is>
      </c>
    </row>
    <row r="59">
      <c r="A59" t="n">
        <v>58</v>
      </c>
      <c r="B59" t="inlineStr">
        <is>
          <t>ФИЛЬТР ОЗОНОВЫЙ WC4110</t>
        </is>
      </c>
      <c r="C59" t="n">
        <v>17</v>
      </c>
      <c r="D59">
        <f>3787.18*1.5</f>
        <v/>
      </c>
      <c r="E59" t="inlineStr">
        <is>
          <t>WC4110-MISC-OTH-3</t>
        </is>
      </c>
    </row>
    <row r="60">
      <c r="A60" t="n">
        <v>59</v>
      </c>
      <c r="B60" t="inlineStr">
        <is>
          <t>ТОНЕР-КАРТРИДЖ ПУРПУРНЫЙ V80</t>
        </is>
      </c>
      <c r="C60" t="n">
        <v>17</v>
      </c>
      <c r="D60">
        <f>14956.9*1.5</f>
        <v/>
      </c>
      <c r="E60" t="inlineStr">
        <is>
          <t>V80-MAG-TN</t>
        </is>
      </c>
    </row>
    <row r="61">
      <c r="A61" t="n">
        <v>60</v>
      </c>
      <c r="B61" t="inlineStr">
        <is>
          <t>НАГРЕВАТЕЛЬНЫЙ ВАЛ C60</t>
        </is>
      </c>
      <c r="C61" t="n">
        <v>4</v>
      </c>
      <c r="D61">
        <f>23522.43*1.0</f>
        <v/>
      </c>
      <c r="E61" t="inlineStr">
        <is>
          <t>C60-MISC-OTH-5</t>
        </is>
      </c>
    </row>
    <row r="62">
      <c r="A62" t="n">
        <v>61</v>
      </c>
      <c r="B62" t="inlineStr">
        <is>
          <t>ФИЛЬТР ОЗОНОВЫЙ 700DCP</t>
        </is>
      </c>
      <c r="C62" t="n">
        <v>6</v>
      </c>
      <c r="D62">
        <f>11881.02*1.0</f>
        <v/>
      </c>
      <c r="E62" t="inlineStr">
        <is>
          <t>700DCP-MISC-OTH-1</t>
        </is>
      </c>
    </row>
    <row r="63">
      <c r="A63" t="n">
        <v>62</v>
      </c>
      <c r="B63" t="inlineStr">
        <is>
          <t>НАГРЕВАТЕЛЬНЫЙ ВАЛ C60</t>
        </is>
      </c>
      <c r="C63" t="n">
        <v>3</v>
      </c>
      <c r="D63">
        <f>15046.41*1.3</f>
        <v/>
      </c>
      <c r="E63" t="inlineStr">
        <is>
          <t>C60-MISC-OTH-6</t>
        </is>
      </c>
    </row>
    <row r="64">
      <c r="A64" t="n">
        <v>63</v>
      </c>
      <c r="B64" t="inlineStr">
        <is>
          <t>ТОНЕР-КАРТРИДЖ ЖЕЛТЫЙ PrimeLink C9070</t>
        </is>
      </c>
      <c r="C64" t="n">
        <v>5</v>
      </c>
      <c r="D64">
        <f>16759.22*1.0</f>
        <v/>
      </c>
      <c r="E64" t="inlineStr">
        <is>
          <t>PLC9070-YEL-TN</t>
        </is>
      </c>
    </row>
    <row r="65">
      <c r="A65" t="n">
        <v>64</v>
      </c>
      <c r="B65" t="inlineStr">
        <is>
          <t>НАГРЕВАТЕЛЬНЫЙ ВАЛ C75</t>
        </is>
      </c>
      <c r="C65" t="n">
        <v>7</v>
      </c>
      <c r="D65">
        <f>4844.8*1.2</f>
        <v/>
      </c>
      <c r="E65" t="inlineStr">
        <is>
          <t>C75-MISC-OTH-3</t>
        </is>
      </c>
    </row>
    <row r="66">
      <c r="A66" t="n">
        <v>65</v>
      </c>
      <c r="B66" t="inlineStr">
        <is>
          <t>ТОНЕР-КАРТРИДЖ ПУРПУРНЫЙ D110</t>
        </is>
      </c>
      <c r="C66" t="n">
        <v>7</v>
      </c>
      <c r="D66">
        <f>1452.0*1.1</f>
        <v/>
      </c>
      <c r="E66" t="inlineStr">
        <is>
          <t>D110-MAG-TN</t>
        </is>
      </c>
    </row>
    <row r="67">
      <c r="A67" t="n">
        <v>66</v>
      </c>
      <c r="B67" t="inlineStr">
        <is>
          <t>ЧИП НА ДРАМ C560</t>
        </is>
      </c>
      <c r="C67" t="n">
        <v>18</v>
      </c>
      <c r="D67">
        <f>26393.06*1.5</f>
        <v/>
      </c>
      <c r="E67" t="inlineStr">
        <is>
          <t>C560-MISC-DM</t>
        </is>
      </c>
    </row>
    <row r="68">
      <c r="A68" t="n">
        <v>67</v>
      </c>
      <c r="B68" t="inlineStr">
        <is>
          <t>ФИЛЬТР ОЗОНОВЫЙ 700DCP</t>
        </is>
      </c>
      <c r="C68" t="n">
        <v>10</v>
      </c>
      <c r="D68">
        <f>7871.48*1.0</f>
        <v/>
      </c>
      <c r="E68" t="inlineStr">
        <is>
          <t>700DCP-MISC-OTH-2</t>
        </is>
      </c>
    </row>
    <row r="69">
      <c r="A69" t="n">
        <v>68</v>
      </c>
      <c r="B69" t="inlineStr">
        <is>
          <t>ТОНЕР-КАРТРИДЖ ЖЕЛТЫЙ C60</t>
        </is>
      </c>
      <c r="C69" t="n">
        <v>18</v>
      </c>
      <c r="D69">
        <f>9178.77*1.5</f>
        <v/>
      </c>
      <c r="E69" t="inlineStr">
        <is>
          <t>C60-YEL-TN</t>
        </is>
      </c>
    </row>
    <row r="70">
      <c r="A70" t="n">
        <v>69</v>
      </c>
      <c r="B70" t="inlineStr">
        <is>
          <t>ТОНЕР-КАРТРИДЖ ЖЕЛТЫЙ C1000</t>
        </is>
      </c>
      <c r="C70" t="n">
        <v>2</v>
      </c>
      <c r="D70">
        <f>15512.27*1.2</f>
        <v/>
      </c>
      <c r="E70" t="inlineStr">
        <is>
          <t>C1000-YEL-TN</t>
        </is>
      </c>
    </row>
    <row r="71">
      <c r="A71" t="n">
        <v>70</v>
      </c>
      <c r="B71" t="inlineStr">
        <is>
          <t>ДРАМ-КАРТРИДЖ ЧЕРНЫЙ D110</t>
        </is>
      </c>
      <c r="C71" t="n">
        <v>4</v>
      </c>
      <c r="D71">
        <f>11924.57*1.3</f>
        <v/>
      </c>
      <c r="E71" t="inlineStr">
        <is>
          <t>D110-BLK-DM-1</t>
        </is>
      </c>
    </row>
    <row r="72">
      <c r="A72" t="n">
        <v>71</v>
      </c>
      <c r="B72" t="inlineStr">
        <is>
          <t>ТОНЕР-КАРТРИДЖ ЖЕЛТЫЙ C560</t>
        </is>
      </c>
      <c r="C72" t="n">
        <v>10</v>
      </c>
      <c r="D72">
        <f>6835.57*1.0</f>
        <v/>
      </c>
      <c r="E72" t="inlineStr">
        <is>
          <t>C560-YEL-TN</t>
        </is>
      </c>
    </row>
    <row r="73">
      <c r="A73" t="n">
        <v>72</v>
      </c>
      <c r="B73" t="inlineStr">
        <is>
          <t>НАГРЕВАТЕЛЬНЫЙ ВАЛ C560</t>
        </is>
      </c>
      <c r="C73" t="n">
        <v>1</v>
      </c>
      <c r="D73">
        <f>29519.22*1.5</f>
        <v/>
      </c>
      <c r="E73" t="inlineStr">
        <is>
          <t>C560-MISC-OTH-2</t>
        </is>
      </c>
    </row>
    <row r="74">
      <c r="A74" t="n">
        <v>73</v>
      </c>
      <c r="B74" t="inlineStr">
        <is>
          <t>ТОНЕР-КАРТРИДЖ ЧЕРНЫЙ D110</t>
        </is>
      </c>
      <c r="C74" t="n">
        <v>13</v>
      </c>
      <c r="D74">
        <f>4001.21*1.5</f>
        <v/>
      </c>
      <c r="E74" t="inlineStr">
        <is>
          <t>D110-BLK-TN-1</t>
        </is>
      </c>
    </row>
    <row r="75">
      <c r="A75" t="n">
        <v>74</v>
      </c>
      <c r="B75" t="inlineStr">
        <is>
          <t>ФИЛЬТР ОЗОНОВЫЙ C60</t>
        </is>
      </c>
      <c r="C75" t="n">
        <v>14</v>
      </c>
      <c r="D75">
        <f>26302.03*1.0</f>
        <v/>
      </c>
      <c r="E75" t="inlineStr">
        <is>
          <t>C60-MISC-OTH-7</t>
        </is>
      </c>
    </row>
    <row r="76">
      <c r="A76" t="n">
        <v>75</v>
      </c>
      <c r="B76" t="inlineStr">
        <is>
          <t>ПРИЖИМНОЙ ВАЛ C1000</t>
        </is>
      </c>
      <c r="C76" t="n">
        <v>1</v>
      </c>
      <c r="D76">
        <f>3518.16*1.5</f>
        <v/>
      </c>
      <c r="E76" t="inlineStr">
        <is>
          <t>C1000-MISC-OTH-3</t>
        </is>
      </c>
    </row>
    <row r="77">
      <c r="A77" t="n">
        <v>76</v>
      </c>
      <c r="B77" t="inlineStr">
        <is>
          <t>ПРИЖИМНОЙ ВАЛ C560</t>
        </is>
      </c>
      <c r="C77" t="n">
        <v>4</v>
      </c>
      <c r="D77">
        <f>6209.61*1.0</f>
        <v/>
      </c>
      <c r="E77" t="inlineStr">
        <is>
          <t>C560-MISC-OTH-3</t>
        </is>
      </c>
    </row>
    <row r="78">
      <c r="A78" t="n">
        <v>77</v>
      </c>
      <c r="B78" t="inlineStr">
        <is>
          <t>ТОНЕР-КАРТРИДЖ ЖЕЛТЫЙ WC4110</t>
        </is>
      </c>
      <c r="C78" t="n">
        <v>2</v>
      </c>
      <c r="D78">
        <f>3150.69*1.5</f>
        <v/>
      </c>
      <c r="E78" t="inlineStr">
        <is>
          <t>WC4110-YEL-TN</t>
        </is>
      </c>
    </row>
    <row r="79">
      <c r="A79" t="n">
        <v>78</v>
      </c>
      <c r="B79" t="inlineStr">
        <is>
          <t>ЧИП НА ДРАМ D110</t>
        </is>
      </c>
      <c r="C79" t="n">
        <v>9</v>
      </c>
      <c r="D79">
        <f>10914.12*1.5</f>
        <v/>
      </c>
      <c r="E79" t="inlineStr">
        <is>
          <t>D110-MISC-DM</t>
        </is>
      </c>
    </row>
    <row r="80">
      <c r="A80" t="n">
        <v>79</v>
      </c>
      <c r="B80" t="inlineStr">
        <is>
          <t>РЕМЕНЬ ПЕРЕНОСА 700DCP</t>
        </is>
      </c>
      <c r="C80" t="n">
        <v>7</v>
      </c>
      <c r="D80">
        <f>12929.01*1.1</f>
        <v/>
      </c>
      <c r="E80" t="inlineStr">
        <is>
          <t>700DCP-MISC-OTH-3</t>
        </is>
      </c>
    </row>
    <row r="81">
      <c r="A81" t="n">
        <v>80</v>
      </c>
      <c r="B81" t="inlineStr">
        <is>
          <t>ПРИЖИМНОЙ ВАЛ C60</t>
        </is>
      </c>
      <c r="C81" t="n">
        <v>10</v>
      </c>
      <c r="D81">
        <f>17399.08*1.1</f>
        <v/>
      </c>
      <c r="E81" t="inlineStr">
        <is>
          <t>C60-MISC-OTH-8</t>
        </is>
      </c>
    </row>
    <row r="82">
      <c r="A82" t="n">
        <v>81</v>
      </c>
      <c r="B82" t="inlineStr">
        <is>
          <t>ПРИЖИМНОЙ ВАЛ 700DCP</t>
        </is>
      </c>
      <c r="C82" t="n">
        <v>16</v>
      </c>
      <c r="D82">
        <f>2992.04*1.2</f>
        <v/>
      </c>
      <c r="E82" t="inlineStr">
        <is>
          <t>700DCP-MISC-OTH-4</t>
        </is>
      </c>
    </row>
    <row r="83">
      <c r="A83" t="n">
        <v>82</v>
      </c>
      <c r="B83" t="inlineStr">
        <is>
          <t>ТОНЕР-КАРТРИДЖ ПУРПУРНЫЙ WC4110</t>
        </is>
      </c>
      <c r="C83" t="n">
        <v>19</v>
      </c>
      <c r="D83">
        <f>20574.81*1.3</f>
        <v/>
      </c>
      <c r="E83" t="inlineStr">
        <is>
          <t>WC4110-MAG-TN</t>
        </is>
      </c>
    </row>
    <row r="84">
      <c r="A84" t="n">
        <v>83</v>
      </c>
      <c r="B84" t="inlineStr">
        <is>
          <t>ТОНЕР-КАРТРИДЖ ЖЕЛТЫЙ C75</t>
        </is>
      </c>
      <c r="C84" t="n">
        <v>10</v>
      </c>
      <c r="D84">
        <f>8730.43*1.2</f>
        <v/>
      </c>
      <c r="E84" t="inlineStr">
        <is>
          <t>C75-YEL-TN</t>
        </is>
      </c>
    </row>
    <row r="85">
      <c r="A85" t="n">
        <v>84</v>
      </c>
      <c r="B85" t="inlineStr">
        <is>
          <t>ПРИЖИМНОЙ ВАЛ DC250</t>
        </is>
      </c>
      <c r="C85" t="n">
        <v>9</v>
      </c>
      <c r="D85">
        <f>8250.3*1.5</f>
        <v/>
      </c>
      <c r="E85" t="inlineStr">
        <is>
          <t>DC250-MISC-OTH-3</t>
        </is>
      </c>
    </row>
    <row r="86">
      <c r="A86" t="n">
        <v>85</v>
      </c>
      <c r="B86" t="inlineStr">
        <is>
          <t>ТОНЕР-КАРТРИДЖ ЖЕЛТЫЙ D110</t>
        </is>
      </c>
      <c r="C86" t="n">
        <v>11</v>
      </c>
      <c r="D86">
        <f>3126.67*1.3</f>
        <v/>
      </c>
      <c r="E86" t="inlineStr">
        <is>
          <t>D110-YEL-TN</t>
        </is>
      </c>
    </row>
    <row r="87">
      <c r="A87" t="n">
        <v>86</v>
      </c>
      <c r="B87" t="inlineStr">
        <is>
          <t>ТОНЕР-КАРТРИДЖ ПУРПУРНЫЙ C560</t>
        </is>
      </c>
      <c r="C87" t="n">
        <v>3</v>
      </c>
      <c r="D87">
        <f>1144.98*1.1</f>
        <v/>
      </c>
      <c r="E87" t="inlineStr">
        <is>
          <t>C560-MAG-TN-1</t>
        </is>
      </c>
    </row>
    <row r="88">
      <c r="A88" t="n">
        <v>87</v>
      </c>
      <c r="B88" t="inlineStr">
        <is>
          <t>ТОНЕР-КАРТРИДЖ ПУРПУРНЫЙ WC4110</t>
        </is>
      </c>
      <c r="C88" t="n">
        <v>7</v>
      </c>
      <c r="D88">
        <f>27744.55*1.5</f>
        <v/>
      </c>
      <c r="E88" t="inlineStr">
        <is>
          <t>WC4110-MAG-TN-1</t>
        </is>
      </c>
    </row>
    <row r="89">
      <c r="A89" t="n">
        <v>88</v>
      </c>
      <c r="B89" t="inlineStr">
        <is>
          <t>ТОНЕР-КАРТРИДЖ СИНИЙ C1000</t>
        </is>
      </c>
      <c r="C89" t="n">
        <v>4</v>
      </c>
      <c r="D89">
        <f>15327.5*1.2</f>
        <v/>
      </c>
      <c r="E89" t="inlineStr">
        <is>
          <t>C1000-CYN-TN</t>
        </is>
      </c>
    </row>
    <row r="90">
      <c r="A90" t="n">
        <v>89</v>
      </c>
      <c r="B90" t="inlineStr">
        <is>
          <t>ТОНЕР-КАРТРИДЖ ЖЕЛТЫЙ WC4110</t>
        </is>
      </c>
      <c r="C90" t="n">
        <v>13</v>
      </c>
      <c r="D90">
        <f>8461.11*1.3</f>
        <v/>
      </c>
      <c r="E90" t="inlineStr">
        <is>
          <t>WC4110-YEL-TN-1</t>
        </is>
      </c>
    </row>
    <row r="91">
      <c r="A91" t="n">
        <v>90</v>
      </c>
      <c r="B91" t="inlineStr">
        <is>
          <t>РЕМЕНЬ ПЕРЕНОСА C560</t>
        </is>
      </c>
      <c r="C91" t="n">
        <v>13</v>
      </c>
      <c r="D91">
        <f>7780.09*1.0</f>
        <v/>
      </c>
      <c r="E91" t="inlineStr">
        <is>
          <t>C560-MISC-OTH-4</t>
        </is>
      </c>
    </row>
    <row r="92">
      <c r="A92" t="n">
        <v>91</v>
      </c>
      <c r="B92" t="inlineStr">
        <is>
          <t>ФИЛЬТР ОЗОНОВЫЙ C1000</t>
        </is>
      </c>
      <c r="C92" t="n">
        <v>9</v>
      </c>
      <c r="D92">
        <f>21702.59*1.2</f>
        <v/>
      </c>
      <c r="E92" t="inlineStr">
        <is>
          <t>C1000-MISC-OTH-4</t>
        </is>
      </c>
    </row>
    <row r="93">
      <c r="A93" t="n">
        <v>92</v>
      </c>
      <c r="B93" t="inlineStr">
        <is>
          <t>ТОНЕР-КАРТРИДЖ ПУРПУРНЫЙ C60</t>
        </is>
      </c>
      <c r="C93" t="n">
        <v>3</v>
      </c>
      <c r="D93">
        <f>7414.28*1.0</f>
        <v/>
      </c>
      <c r="E93" t="inlineStr">
        <is>
          <t>C60-MAG-TN</t>
        </is>
      </c>
    </row>
    <row r="94">
      <c r="A94" t="n">
        <v>93</v>
      </c>
      <c r="B94" t="inlineStr">
        <is>
          <t>РЕМЕНЬ ПЕРЕНОСА WC4110</t>
        </is>
      </c>
      <c r="C94" t="n">
        <v>5</v>
      </c>
      <c r="D94">
        <f>10401.91*1.2</f>
        <v/>
      </c>
      <c r="E94" t="inlineStr">
        <is>
          <t>WC4110-MISC-OTH-4</t>
        </is>
      </c>
    </row>
    <row r="95">
      <c r="A95" t="n">
        <v>94</v>
      </c>
      <c r="B95" t="inlineStr">
        <is>
          <t>ТОНЕР-КАРТРИДЖ ПУРПУРНЫЙ C75</t>
        </is>
      </c>
      <c r="C95" t="n">
        <v>1</v>
      </c>
      <c r="D95">
        <f>25114.82*1.2</f>
        <v/>
      </c>
      <c r="E95" t="inlineStr">
        <is>
          <t>C75-MAG-TN-2</t>
        </is>
      </c>
    </row>
    <row r="96">
      <c r="A96" t="n">
        <v>95</v>
      </c>
      <c r="B96" t="inlineStr">
        <is>
          <t>ЧИП НА ДРАМ C1000</t>
        </is>
      </c>
      <c r="C96" t="n">
        <v>6</v>
      </c>
      <c r="D96">
        <f>21177.06*1.5</f>
        <v/>
      </c>
      <c r="E96" t="inlineStr">
        <is>
          <t>C1000-MISC-DM</t>
        </is>
      </c>
    </row>
    <row r="97">
      <c r="A97" t="n">
        <v>96</v>
      </c>
      <c r="B97" t="inlineStr">
        <is>
          <t>ДРАМ-КАРТРИДЖ ЧЕРНЫЙ 700DCP</t>
        </is>
      </c>
      <c r="C97" t="n">
        <v>8</v>
      </c>
      <c r="D97">
        <f>23626.55*1.2</f>
        <v/>
      </c>
      <c r="E97" t="inlineStr">
        <is>
          <t>700DCP-BLK-DM</t>
        </is>
      </c>
    </row>
    <row r="98">
      <c r="A98" t="n">
        <v>97</v>
      </c>
      <c r="B98" t="inlineStr">
        <is>
          <t>НАГРЕВАТЕЛЬНЫЙ ВАЛ DC250</t>
        </is>
      </c>
      <c r="C98" t="n">
        <v>13</v>
      </c>
      <c r="D98">
        <f>26589.12*1.5</f>
        <v/>
      </c>
      <c r="E98" t="inlineStr">
        <is>
          <t>DC250-MISC-OTH-4</t>
        </is>
      </c>
    </row>
    <row r="99">
      <c r="A99" t="n">
        <v>98</v>
      </c>
      <c r="B99" t="inlineStr">
        <is>
          <t>ДРАМ-КАРТРИДЖ ЧЕРНЫЙ C75</t>
        </is>
      </c>
      <c r="C99" t="n">
        <v>20</v>
      </c>
      <c r="D99">
        <f>21930.73*1.3</f>
        <v/>
      </c>
      <c r="E99" t="inlineStr">
        <is>
          <t>C75-BLK-DM</t>
        </is>
      </c>
    </row>
    <row r="100">
      <c r="A100" t="n">
        <v>99</v>
      </c>
      <c r="B100" t="inlineStr">
        <is>
          <t>ТОНЕР-КАРТРИДЖ СИНИЙ C60</t>
        </is>
      </c>
      <c r="C100" t="n">
        <v>12</v>
      </c>
      <c r="D100">
        <f>24607.43*1.0</f>
        <v/>
      </c>
      <c r="E100" t="inlineStr">
        <is>
          <t>C60-CYN-TN-1</t>
        </is>
      </c>
    </row>
    <row r="101">
      <c r="A101" t="n">
        <v>100</v>
      </c>
      <c r="B101" t="inlineStr">
        <is>
          <t>НАГРЕВАТЕЛЬНЫЙ ВАЛ C75</t>
        </is>
      </c>
      <c r="C101" t="n">
        <v>8</v>
      </c>
      <c r="D101">
        <f>6765.39*1.2</f>
        <v/>
      </c>
      <c r="E101" t="inlineStr">
        <is>
          <t>C75-MISC-OTH-4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2025-12-09T20:03:07Z</dcterms:created>
  <dcterms:modified xsi:type="dcterms:W3CDTF">2025-12-09T20:03:07Z</dcterms:modified>
</cp:coreProperties>
</file>